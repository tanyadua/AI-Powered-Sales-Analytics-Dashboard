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FD569E063386AA/Documents/"/>
    </mc:Choice>
  </mc:AlternateContent>
  <xr:revisionPtr revIDLastSave="0" documentId="14_{909590FB-009C-49BB-8C92-DA5A6BDA8C70}" xr6:coauthVersionLast="47" xr6:coauthVersionMax="47" xr10:uidLastSave="{00000000-0000-0000-0000-000000000000}"/>
  <bookViews>
    <workbookView xWindow="-110" yWindow="-110" windowWidth="19420" windowHeight="11500" activeTab="4" xr2:uid="{4A9C959B-B197-42D1-98F8-50122263D7DA}"/>
  </bookViews>
  <sheets>
    <sheet name="Sheet3" sheetId="4" r:id="rId1"/>
    <sheet name="Sheet4" sheetId="5" r:id="rId2"/>
    <sheet name="Sheet6" sheetId="7" r:id="rId3"/>
    <sheet name="Sheet1" sheetId="1" r:id="rId4"/>
    <sheet name="Dashboard" sheetId="6" r:id="rId5"/>
  </sheets>
  <calcPr calcId="191029"/>
  <pivotCaches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" l="1"/>
  <c r="J2" i="1"/>
</calcChain>
</file>

<file path=xl/sharedStrings.xml><?xml version="1.0" encoding="utf-8"?>
<sst xmlns="http://schemas.openxmlformats.org/spreadsheetml/2006/main" count="127" uniqueCount="32">
  <si>
    <t>Date</t>
  </si>
  <si>
    <t>Product</t>
  </si>
  <si>
    <t>Category</t>
  </si>
  <si>
    <t>Region</t>
  </si>
  <si>
    <t>Sales</t>
  </si>
  <si>
    <t>Profit</t>
  </si>
  <si>
    <t>Laptop</t>
  </si>
  <si>
    <t>Electronics</t>
  </si>
  <si>
    <t>North</t>
  </si>
  <si>
    <t>Smartphone</t>
  </si>
  <si>
    <t>South</t>
  </si>
  <si>
    <t>Tablet</t>
  </si>
  <si>
    <t>East</t>
  </si>
  <si>
    <t>Headphones</t>
  </si>
  <si>
    <t>Accessories</t>
  </si>
  <si>
    <t>West</t>
  </si>
  <si>
    <t>Smartwatch</t>
  </si>
  <si>
    <t>Wearables</t>
  </si>
  <si>
    <t>Row Labels</t>
  </si>
  <si>
    <t>Grand Total</t>
  </si>
  <si>
    <t>Sum of Sales</t>
  </si>
  <si>
    <t>AI-Powered Sales Analytics Dashboard</t>
  </si>
  <si>
    <t>wearables</t>
  </si>
  <si>
    <t>Total Sales</t>
  </si>
  <si>
    <t>Total Profit</t>
  </si>
  <si>
    <t>🤖 AI-Generated Business Insights</t>
  </si>
  <si>
    <t>Key Insigts &amp; Recommendations</t>
  </si>
  <si>
    <t xml:space="preserve">         Laptops generated the highest revenue, making them the top-performing product category.</t>
  </si>
  <si>
    <t>The South region recorded the highest sales performance, indicating strong market potential.</t>
  </si>
  <si>
    <t xml:space="preserve">        Electronics emerged as the dominant category, outperforming Accessories and Wearables in revenue contribution.</t>
  </si>
  <si>
    <t xml:space="preserve">     Smartphones showed strong and consistent demand, contributing significantly to overall sales.</t>
  </si>
  <si>
    <t xml:space="preserve">   Increasing focus on Laptops and Smartphones could further improve revenue and profitability.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</si>
</sst>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3" fontId="2" fillId="0" borderId="0" xfId="1" applyFont="1" applyAlignment="1">
      <alignment horizontal="center" vertical="center" wrapText="1"/>
    </xf>
    <xf numFmtId="43" fontId="0" fillId="0" borderId="0" xfId="1" applyFont="1" applyAlignment="1">
      <alignment vertical="center" wrapText="1"/>
    </xf>
    <xf numFmtId="43" fontId="0" fillId="0" borderId="0" xfId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4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 wrapText="1"/>
    </xf>
    <xf numFmtId="0" fontId="0" fillId="3" borderId="0" xfId="0" applyFill="1"/>
  </cellXfs>
  <cellStyles count="2">
    <cellStyle name="Comma" xfId="1" builtinId="3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[Project1.xlsx]Sheet4!PivotTable4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_(* #,##0.00_);_(* \(#,##0.00\);_(* "-"??_);_(@_)</c:formatCode>
                <c:ptCount val="4"/>
                <c:pt idx="0">
                  <c:v>210500</c:v>
                </c:pt>
                <c:pt idx="1">
                  <c:v>225500</c:v>
                </c:pt>
                <c:pt idx="2">
                  <c:v>256500</c:v>
                </c:pt>
                <c:pt idx="3">
                  <c:v>185000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0-4255-8307-8FC1F726F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4330143"/>
        <c:axId val="1984328703"/>
      </c:barChart>
      <c:catAx>
        <c:axId val="198433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328703"/>
        <c:crosses val="autoZero"/>
        <c:auto val="1"/>
        <c:lblAlgn val="ctr"/>
        <c:lblOffset val="100"/>
        <c:noMultiLvlLbl val="0"/>
      </c:catAx>
      <c:valAx>
        <c:axId val="198432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33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[Project1.xlsx]Sheet3!PivotTable3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</a:t>
            </a:r>
            <a:r>
              <a:rPr lang="en-IN" baseline="0"/>
              <a:t>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E1-4789-AC32-9C71F06F00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E1-4789-AC32-9C71F06F00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E1-4789-AC32-9C71F06F00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FE1-4789-AC32-9C71F06F00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FE1-4789-AC32-9C71F06F0018}"/>
              </c:ext>
            </c:extLst>
          </c:dPt>
          <c:cat>
            <c:strRef>
              <c:f>Sheet3!$A$4:$A$9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Smartphone</c:v>
                </c:pt>
                <c:pt idx="3">
                  <c:v>Smartwatch</c:v>
                </c:pt>
                <c:pt idx="4">
                  <c:v>Tablet</c:v>
                </c:pt>
              </c:strCache>
            </c:strRef>
          </c:cat>
          <c:val>
            <c:numRef>
              <c:f>Sheet3!$B$4:$B$9</c:f>
              <c:numCache>
                <c:formatCode>_(* #,##0.00_);_(* \(#,##0.00\);_(* "-"??_);_(@_)</c:formatCode>
                <c:ptCount val="5"/>
                <c:pt idx="0">
                  <c:v>79500</c:v>
                </c:pt>
                <c:pt idx="1">
                  <c:v>285000</c:v>
                </c:pt>
                <c:pt idx="2">
                  <c:v>243000</c:v>
                </c:pt>
                <c:pt idx="3">
                  <c:v>123000</c:v>
                </c:pt>
                <c:pt idx="4">
                  <c:v>147000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E1-4789-AC32-9C71F06F0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[Project1.xlsx]Sheet6!PivotTable5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Wearables</c:v>
                </c:pt>
              </c:strCache>
            </c:strRef>
          </c:cat>
          <c:val>
            <c:numRef>
              <c:f>Sheet6!$B$4:$B$7</c:f>
              <c:numCache>
                <c:formatCode>_(* #,##0.00_);_(* \(#,##0.00\);_(* "-"??_);_(@_)</c:formatCode>
                <c:ptCount val="3"/>
                <c:pt idx="0">
                  <c:v>79500</c:v>
                </c:pt>
                <c:pt idx="1">
                  <c:v>675000</c:v>
                </c:pt>
                <c:pt idx="2">
                  <c:v>123000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3-4E04-9725-C3C215879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5813295"/>
        <c:axId val="1973802159"/>
      </c:barChart>
      <c:catAx>
        <c:axId val="1545813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802159"/>
        <c:crosses val="autoZero"/>
        <c:auto val="1"/>
        <c:lblAlgn val="ctr"/>
        <c:lblOffset val="100"/>
        <c:noMultiLvlLbl val="0"/>
      </c:catAx>
      <c:valAx>
        <c:axId val="1973802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1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304800</xdr:colOff>
      <xdr:row>19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4274DE-FB23-4C0A-9944-D2DB5B973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508000</xdr:colOff>
      <xdr:row>5</xdr:row>
      <xdr:rowOff>12700</xdr:rowOff>
    </xdr:from>
    <xdr:to>
      <xdr:col>15</xdr:col>
      <xdr:colOff>203200</xdr:colOff>
      <xdr:row>19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BB0C20-6865-4181-86A0-87AF83C06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170241</xdr:rowOff>
    </xdr:from>
    <xdr:to>
      <xdr:col>7</xdr:col>
      <xdr:colOff>299962</xdr:colOff>
      <xdr:row>35</xdr:row>
      <xdr:rowOff>151191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AAD278-2FE7-4B19-A170-F5427D72EE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ya Dua" refreshedDate="46193.076363541666" createdVersion="8" refreshedVersion="8" minRefreshableVersion="3" recordCount="30" xr:uid="{418BF35D-84C3-42A4-AAED-085F34339DBC}">
  <cacheSource type="worksheet">
    <worksheetSource name="Table1"/>
  </cacheSource>
  <cacheFields count="6">
    <cacheField name="Date" numFmtId="15">
      <sharedItems containsSemiMixedTypes="0" containsNonDate="0" containsDate="1" containsString="0" minDate="2026-01-01T00:00:00" maxDate="2026-01-31T00:00:00"/>
    </cacheField>
    <cacheField name="Product" numFmtId="0">
      <sharedItems count="5">
        <s v="Laptop"/>
        <s v="Smartphone"/>
        <s v="Tablet"/>
        <s v="Headphones"/>
        <s v="Smartwatch"/>
      </sharedItems>
    </cacheField>
    <cacheField name="Category" numFmtId="0">
      <sharedItems count="3">
        <s v="Electronics"/>
        <s v="Accessories"/>
        <s v="Wearables"/>
      </sharedItems>
    </cacheField>
    <cacheField name="Region" numFmtId="0">
      <sharedItems count="4">
        <s v="North"/>
        <s v="South"/>
        <s v="East"/>
        <s v="West"/>
      </sharedItems>
    </cacheField>
    <cacheField name="Sales" numFmtId="43">
      <sharedItems containsSemiMixedTypes="0" containsString="0" containsNumber="1" containsInteger="1" minValue="12000" maxValue="50000"/>
    </cacheField>
    <cacheField name="Profit" numFmtId="43">
      <sharedItems containsSemiMixedTypes="0" containsString="0" containsNumber="1" containsInteger="1" minValue="300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6-01-01T00:00:00"/>
    <x v="0"/>
    <x v="0"/>
    <x v="0"/>
    <n v="45000"/>
    <n v="12000"/>
  </r>
  <r>
    <d v="2026-01-02T00:00:00"/>
    <x v="1"/>
    <x v="0"/>
    <x v="1"/>
    <n v="38000"/>
    <n v="9500"/>
  </r>
  <r>
    <d v="2026-01-03T00:00:00"/>
    <x v="2"/>
    <x v="0"/>
    <x v="2"/>
    <n v="22000"/>
    <n v="5500"/>
  </r>
  <r>
    <d v="2026-01-04T00:00:00"/>
    <x v="3"/>
    <x v="1"/>
    <x v="3"/>
    <n v="12000"/>
    <n v="3000"/>
  </r>
  <r>
    <d v="2026-01-05T00:00:00"/>
    <x v="4"/>
    <x v="2"/>
    <x v="0"/>
    <n v="18000"/>
    <n v="4500"/>
  </r>
  <r>
    <d v="2026-01-06T00:00:00"/>
    <x v="0"/>
    <x v="0"/>
    <x v="1"/>
    <n v="47000"/>
    <n v="12500"/>
  </r>
  <r>
    <d v="2026-01-07T00:00:00"/>
    <x v="1"/>
    <x v="0"/>
    <x v="2"/>
    <n v="40000"/>
    <n v="10000"/>
  </r>
  <r>
    <d v="2026-01-08T00:00:00"/>
    <x v="2"/>
    <x v="0"/>
    <x v="3"/>
    <n v="24000"/>
    <n v="6000"/>
  </r>
  <r>
    <d v="2026-01-09T00:00:00"/>
    <x v="3"/>
    <x v="1"/>
    <x v="0"/>
    <n v="13000"/>
    <n v="3200"/>
  </r>
  <r>
    <d v="2026-01-10T00:00:00"/>
    <x v="4"/>
    <x v="2"/>
    <x v="1"/>
    <n v="19000"/>
    <n v="4700"/>
  </r>
  <r>
    <d v="2026-01-11T00:00:00"/>
    <x v="0"/>
    <x v="0"/>
    <x v="2"/>
    <n v="46000"/>
    <n v="11800"/>
  </r>
  <r>
    <d v="2026-01-12T00:00:00"/>
    <x v="1"/>
    <x v="0"/>
    <x v="3"/>
    <n v="39000"/>
    <n v="9700"/>
  </r>
  <r>
    <d v="2026-01-13T00:00:00"/>
    <x v="2"/>
    <x v="0"/>
    <x v="0"/>
    <n v="23000"/>
    <n v="5700"/>
  </r>
  <r>
    <d v="2026-01-14T00:00:00"/>
    <x v="3"/>
    <x v="1"/>
    <x v="1"/>
    <n v="12500"/>
    <n v="3100"/>
  </r>
  <r>
    <d v="2026-01-15T00:00:00"/>
    <x v="4"/>
    <x v="2"/>
    <x v="2"/>
    <n v="20000"/>
    <n v="5000"/>
  </r>
  <r>
    <d v="2026-01-16T00:00:00"/>
    <x v="0"/>
    <x v="0"/>
    <x v="3"/>
    <n v="48000"/>
    <n v="13000"/>
  </r>
  <r>
    <d v="2026-01-17T00:00:00"/>
    <x v="1"/>
    <x v="0"/>
    <x v="0"/>
    <n v="41000"/>
    <n v="10200"/>
  </r>
  <r>
    <d v="2026-01-18T00:00:00"/>
    <x v="2"/>
    <x v="0"/>
    <x v="1"/>
    <n v="25000"/>
    <n v="6200"/>
  </r>
  <r>
    <d v="2026-01-19T00:00:00"/>
    <x v="3"/>
    <x v="1"/>
    <x v="2"/>
    <n v="13500"/>
    <n v="3300"/>
  </r>
  <r>
    <d v="2026-01-20T00:00:00"/>
    <x v="4"/>
    <x v="2"/>
    <x v="3"/>
    <n v="21000"/>
    <n v="5200"/>
  </r>
  <r>
    <d v="2026-01-21T00:00:00"/>
    <x v="0"/>
    <x v="0"/>
    <x v="0"/>
    <n v="49000"/>
    <n v="13200"/>
  </r>
  <r>
    <d v="2026-01-22T00:00:00"/>
    <x v="1"/>
    <x v="0"/>
    <x v="1"/>
    <n v="42000"/>
    <n v="10500"/>
  </r>
  <r>
    <d v="2026-01-23T00:00:00"/>
    <x v="2"/>
    <x v="0"/>
    <x v="2"/>
    <n v="26000"/>
    <n v="6500"/>
  </r>
  <r>
    <d v="2026-01-24T00:00:00"/>
    <x v="3"/>
    <x v="1"/>
    <x v="3"/>
    <n v="14000"/>
    <n v="3500"/>
  </r>
  <r>
    <d v="2026-01-25T00:00:00"/>
    <x v="4"/>
    <x v="2"/>
    <x v="0"/>
    <n v="22000"/>
    <n v="5500"/>
  </r>
  <r>
    <d v="2026-01-26T00:00:00"/>
    <x v="0"/>
    <x v="0"/>
    <x v="1"/>
    <n v="50000"/>
    <n v="13500"/>
  </r>
  <r>
    <d v="2026-01-27T00:00:00"/>
    <x v="1"/>
    <x v="0"/>
    <x v="2"/>
    <n v="43000"/>
    <n v="10800"/>
  </r>
  <r>
    <d v="2026-01-28T00:00:00"/>
    <x v="2"/>
    <x v="0"/>
    <x v="3"/>
    <n v="27000"/>
    <n v="6800"/>
  </r>
  <r>
    <d v="2026-01-29T00:00:00"/>
    <x v="3"/>
    <x v="1"/>
    <x v="0"/>
    <n v="14500"/>
    <n v="3600"/>
  </r>
  <r>
    <d v="2026-01-30T00:00:00"/>
    <x v="4"/>
    <x v="2"/>
    <x v="1"/>
    <n v="23000"/>
    <n v="5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BFFAF-1690-4BC2-9F2F-5A864606A67B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6">
    <pivotField numFmtId="15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dataField="1" numFmtId="43" showAll="0"/>
    <pivotField numFmtId="43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 numFmtId="43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3C19C-589B-44E8-B5B9-648805B0082F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6">
    <pivotField numFmtId="15"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numFmtId="43" showAll="0"/>
    <pivotField numFmtId="43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 numFmtId="43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67AD6-807A-4DC1-8CE4-25102B27D7CB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6">
    <pivotField numFmtId="15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numFmtId="43" showAll="0"/>
    <pivotField numFmtId="43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B082FD-63FA-4A15-BAE3-2E40E03F6AC4}" name="Table1" displayName="Table1" ref="A1:F31" totalsRowShown="0" headerRowDxfId="0" dataDxfId="1">
  <autoFilter ref="A1:F31" xr:uid="{B2B082FD-63FA-4A15-BAE3-2E40E03F6AC4}"/>
  <tableColumns count="6">
    <tableColumn id="1" xr3:uid="{34766C99-A41A-4EFC-8123-68363C687BDC}" name="Date" dataDxfId="7"/>
    <tableColumn id="2" xr3:uid="{DDECA807-A13F-42C5-86AA-D8090FB43BB6}" name="Product" dataDxfId="6"/>
    <tableColumn id="3" xr3:uid="{7AE84FD4-D9AF-4AB2-B8D3-A5EECB1A35D8}" name="Category" dataDxfId="5"/>
    <tableColumn id="4" xr3:uid="{60A035E8-0D92-4F17-9473-C6D62621F11D}" name="Region" dataDxfId="4"/>
    <tableColumn id="5" xr3:uid="{ACEE0DC8-75BB-4EC1-A1D2-BE041E19902D}" name="Sales" dataDxfId="3" dataCellStyle="Comma"/>
    <tableColumn id="6" xr3:uid="{380155F4-7277-4305-9C78-02B5BDE255A1}" name="Profit" dataDxfId="2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5CC4-8BFD-4BEF-B072-D73ACEC208FA}">
  <dimension ref="A3:B9"/>
  <sheetViews>
    <sheetView workbookViewId="0">
      <selection activeCell="B4" sqref="B4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9" t="s">
        <v>18</v>
      </c>
      <c r="B3" t="s">
        <v>20</v>
      </c>
    </row>
    <row r="4" spans="1:2" x14ac:dyDescent="0.35">
      <c r="A4" s="10" t="s">
        <v>13</v>
      </c>
      <c r="B4" s="11">
        <v>79500</v>
      </c>
    </row>
    <row r="5" spans="1:2" x14ac:dyDescent="0.35">
      <c r="A5" s="10" t="s">
        <v>6</v>
      </c>
      <c r="B5" s="11">
        <v>285000</v>
      </c>
    </row>
    <row r="6" spans="1:2" x14ac:dyDescent="0.35">
      <c r="A6" s="10" t="s">
        <v>9</v>
      </c>
      <c r="B6" s="11">
        <v>243000</v>
      </c>
    </row>
    <row r="7" spans="1:2" x14ac:dyDescent="0.35">
      <c r="A7" s="10" t="s">
        <v>16</v>
      </c>
      <c r="B7" s="11">
        <v>123000</v>
      </c>
    </row>
    <row r="8" spans="1:2" x14ac:dyDescent="0.35">
      <c r="A8" s="10" t="s">
        <v>11</v>
      </c>
      <c r="B8" s="11">
        <v>147000</v>
      </c>
    </row>
    <row r="9" spans="1:2" x14ac:dyDescent="0.35">
      <c r="A9" s="10" t="s">
        <v>19</v>
      </c>
      <c r="B9" s="11">
        <v>877500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4502-D355-4B3B-A828-C008D7833F04}">
  <dimension ref="A3:B8"/>
  <sheetViews>
    <sheetView workbookViewId="0">
      <selection activeCell="A4" sqref="A4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9" t="s">
        <v>18</v>
      </c>
      <c r="B3" t="s">
        <v>20</v>
      </c>
    </row>
    <row r="4" spans="1:2" x14ac:dyDescent="0.35">
      <c r="A4" s="10" t="s">
        <v>12</v>
      </c>
      <c r="B4" s="11">
        <v>210500</v>
      </c>
    </row>
    <row r="5" spans="1:2" x14ac:dyDescent="0.35">
      <c r="A5" s="10" t="s">
        <v>8</v>
      </c>
      <c r="B5" s="11">
        <v>225500</v>
      </c>
    </row>
    <row r="6" spans="1:2" x14ac:dyDescent="0.35">
      <c r="A6" s="10" t="s">
        <v>10</v>
      </c>
      <c r="B6" s="11">
        <v>256500</v>
      </c>
    </row>
    <row r="7" spans="1:2" x14ac:dyDescent="0.35">
      <c r="A7" s="10" t="s">
        <v>15</v>
      </c>
      <c r="B7" s="11">
        <v>185000</v>
      </c>
    </row>
    <row r="8" spans="1:2" x14ac:dyDescent="0.35">
      <c r="A8" s="10" t="s">
        <v>19</v>
      </c>
      <c r="B8" s="11">
        <v>877500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3468-A753-470B-BFF1-DC9AB43A77DC}">
  <dimension ref="A3:B7"/>
  <sheetViews>
    <sheetView workbookViewId="0">
      <selection activeCell="K11" sqref="K11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9" t="s">
        <v>18</v>
      </c>
      <c r="B3" t="s">
        <v>20</v>
      </c>
    </row>
    <row r="4" spans="1:2" x14ac:dyDescent="0.35">
      <c r="A4" s="10" t="s">
        <v>14</v>
      </c>
      <c r="B4" s="11">
        <v>79500</v>
      </c>
    </row>
    <row r="5" spans="1:2" x14ac:dyDescent="0.35">
      <c r="A5" s="10" t="s">
        <v>7</v>
      </c>
      <c r="B5" s="11">
        <v>675000</v>
      </c>
    </row>
    <row r="6" spans="1:2" x14ac:dyDescent="0.35">
      <c r="A6" s="10" t="s">
        <v>17</v>
      </c>
      <c r="B6" s="11">
        <v>123000</v>
      </c>
    </row>
    <row r="7" spans="1:2" x14ac:dyDescent="0.35">
      <c r="A7" s="10" t="s">
        <v>19</v>
      </c>
      <c r="B7" s="11">
        <v>877500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566D-3620-469A-8E81-06D29F850FD9}">
  <dimension ref="A1:J31"/>
  <sheetViews>
    <sheetView zoomScale="88" workbookViewId="0">
      <selection activeCell="D7" sqref="D7"/>
    </sheetView>
  </sheetViews>
  <sheetFormatPr defaultRowHeight="18" customHeight="1" x14ac:dyDescent="0.35"/>
  <cols>
    <col min="1" max="1" width="9.90625" bestFit="1" customWidth="1"/>
    <col min="2" max="2" width="12.36328125" bestFit="1" customWidth="1"/>
    <col min="3" max="3" width="13.26953125" bestFit="1" customWidth="1"/>
    <col min="4" max="4" width="11.7265625" bestFit="1" customWidth="1"/>
    <col min="5" max="6" width="10.54296875" style="6" bestFit="1" customWidth="1"/>
    <col min="10" max="10" width="11.54296875" bestFit="1" customWidth="1"/>
  </cols>
  <sheetData>
    <row r="1" spans="1:10" ht="1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</row>
    <row r="2" spans="1:10" ht="18" customHeight="1" x14ac:dyDescent="0.35">
      <c r="A2" s="2">
        <v>46023</v>
      </c>
      <c r="B2" s="3" t="s">
        <v>6</v>
      </c>
      <c r="C2" s="3" t="s">
        <v>7</v>
      </c>
      <c r="D2" s="3" t="s">
        <v>8</v>
      </c>
      <c r="E2" s="5">
        <v>45000</v>
      </c>
      <c r="F2" s="5">
        <v>12000</v>
      </c>
      <c r="J2" s="11">
        <f>SUM(E:E)</f>
        <v>877500</v>
      </c>
    </row>
    <row r="3" spans="1:10" ht="18" customHeight="1" x14ac:dyDescent="0.35">
      <c r="A3" s="2">
        <v>46024</v>
      </c>
      <c r="B3" s="3" t="s">
        <v>9</v>
      </c>
      <c r="C3" s="3" t="s">
        <v>7</v>
      </c>
      <c r="D3" s="3" t="s">
        <v>10</v>
      </c>
      <c r="E3" s="5">
        <v>38000</v>
      </c>
      <c r="F3" s="5">
        <v>9500</v>
      </c>
      <c r="J3" s="11">
        <f>SUM(F:F)</f>
        <v>223700</v>
      </c>
    </row>
    <row r="4" spans="1:10" ht="18" customHeight="1" x14ac:dyDescent="0.35">
      <c r="A4" s="2">
        <v>46025</v>
      </c>
      <c r="B4" s="3" t="s">
        <v>11</v>
      </c>
      <c r="C4" s="3" t="s">
        <v>7</v>
      </c>
      <c r="D4" s="3" t="s">
        <v>12</v>
      </c>
      <c r="E4" s="5">
        <v>22000</v>
      </c>
      <c r="F4" s="5">
        <v>5500</v>
      </c>
    </row>
    <row r="5" spans="1:10" ht="18" customHeight="1" x14ac:dyDescent="0.35">
      <c r="A5" s="2">
        <v>46026</v>
      </c>
      <c r="B5" s="3" t="s">
        <v>13</v>
      </c>
      <c r="C5" s="3" t="s">
        <v>22</v>
      </c>
      <c r="D5" s="3" t="s">
        <v>15</v>
      </c>
      <c r="E5" s="5">
        <v>12000</v>
      </c>
      <c r="F5" s="5">
        <v>3000</v>
      </c>
    </row>
    <row r="6" spans="1:10" ht="18" customHeight="1" x14ac:dyDescent="0.35">
      <c r="A6" s="2">
        <v>46027</v>
      </c>
      <c r="B6" s="3" t="s">
        <v>16</v>
      </c>
      <c r="C6" s="3" t="s">
        <v>17</v>
      </c>
      <c r="D6" s="3" t="s">
        <v>8</v>
      </c>
      <c r="E6" s="5">
        <v>18000</v>
      </c>
      <c r="F6" s="5">
        <v>4500</v>
      </c>
    </row>
    <row r="7" spans="1:10" ht="18" customHeight="1" x14ac:dyDescent="0.35">
      <c r="A7" s="2">
        <v>46028</v>
      </c>
      <c r="B7" s="3" t="s">
        <v>6</v>
      </c>
      <c r="C7" s="3" t="s">
        <v>7</v>
      </c>
      <c r="D7" s="3" t="s">
        <v>10</v>
      </c>
      <c r="E7" s="5">
        <v>47000</v>
      </c>
      <c r="F7" s="5">
        <v>12500</v>
      </c>
    </row>
    <row r="8" spans="1:10" ht="18" customHeight="1" x14ac:dyDescent="0.35">
      <c r="A8" s="2">
        <v>46029</v>
      </c>
      <c r="B8" s="3" t="s">
        <v>9</v>
      </c>
      <c r="C8" s="3" t="s">
        <v>7</v>
      </c>
      <c r="D8" s="3" t="s">
        <v>12</v>
      </c>
      <c r="E8" s="5">
        <v>40000</v>
      </c>
      <c r="F8" s="5">
        <v>10000</v>
      </c>
    </row>
    <row r="9" spans="1:10" ht="18" customHeight="1" x14ac:dyDescent="0.35">
      <c r="A9" s="2">
        <v>46030</v>
      </c>
      <c r="B9" s="3" t="s">
        <v>11</v>
      </c>
      <c r="C9" s="3" t="s">
        <v>7</v>
      </c>
      <c r="D9" s="3" t="s">
        <v>15</v>
      </c>
      <c r="E9" s="5">
        <v>24000</v>
      </c>
      <c r="F9" s="5">
        <v>6000</v>
      </c>
    </row>
    <row r="10" spans="1:10" ht="18" customHeight="1" x14ac:dyDescent="0.35">
      <c r="A10" s="2">
        <v>46031</v>
      </c>
      <c r="B10" s="3" t="s">
        <v>13</v>
      </c>
      <c r="C10" s="3" t="s">
        <v>14</v>
      </c>
      <c r="D10" s="3" t="s">
        <v>8</v>
      </c>
      <c r="E10" s="5">
        <v>13000</v>
      </c>
      <c r="F10" s="5">
        <v>3200</v>
      </c>
    </row>
    <row r="11" spans="1:10" ht="18" customHeight="1" x14ac:dyDescent="0.35">
      <c r="A11" s="2">
        <v>46032</v>
      </c>
      <c r="B11" s="3" t="s">
        <v>16</v>
      </c>
      <c r="C11" s="3" t="s">
        <v>17</v>
      </c>
      <c r="D11" s="3" t="s">
        <v>10</v>
      </c>
      <c r="E11" s="5">
        <v>19000</v>
      </c>
      <c r="F11" s="5">
        <v>4700</v>
      </c>
    </row>
    <row r="12" spans="1:10" ht="18" customHeight="1" x14ac:dyDescent="0.35">
      <c r="A12" s="2">
        <v>46033</v>
      </c>
      <c r="B12" s="3" t="s">
        <v>6</v>
      </c>
      <c r="C12" s="3" t="s">
        <v>7</v>
      </c>
      <c r="D12" s="3" t="s">
        <v>12</v>
      </c>
      <c r="E12" s="5">
        <v>46000</v>
      </c>
      <c r="F12" s="5">
        <v>11800</v>
      </c>
    </row>
    <row r="13" spans="1:10" ht="18" customHeight="1" x14ac:dyDescent="0.35">
      <c r="A13" s="2">
        <v>46034</v>
      </c>
      <c r="B13" s="3" t="s">
        <v>9</v>
      </c>
      <c r="C13" s="3" t="s">
        <v>7</v>
      </c>
      <c r="D13" s="3" t="s">
        <v>15</v>
      </c>
      <c r="E13" s="5">
        <v>39000</v>
      </c>
      <c r="F13" s="5">
        <v>9700</v>
      </c>
    </row>
    <row r="14" spans="1:10" ht="18" customHeight="1" x14ac:dyDescent="0.35">
      <c r="A14" s="2">
        <v>46035</v>
      </c>
      <c r="B14" s="3" t="s">
        <v>11</v>
      </c>
      <c r="C14" s="3" t="s">
        <v>7</v>
      </c>
      <c r="D14" s="3" t="s">
        <v>8</v>
      </c>
      <c r="E14" s="5">
        <v>23000</v>
      </c>
      <c r="F14" s="5">
        <v>5700</v>
      </c>
    </row>
    <row r="15" spans="1:10" ht="18" customHeight="1" x14ac:dyDescent="0.35">
      <c r="A15" s="2">
        <v>46036</v>
      </c>
      <c r="B15" s="3" t="s">
        <v>13</v>
      </c>
      <c r="C15" s="3" t="s">
        <v>14</v>
      </c>
      <c r="D15" s="3" t="s">
        <v>10</v>
      </c>
      <c r="E15" s="5">
        <v>12500</v>
      </c>
      <c r="F15" s="5">
        <v>3100</v>
      </c>
    </row>
    <row r="16" spans="1:10" ht="18" customHeight="1" x14ac:dyDescent="0.35">
      <c r="A16" s="2">
        <v>46037</v>
      </c>
      <c r="B16" s="3" t="s">
        <v>16</v>
      </c>
      <c r="C16" s="3" t="s">
        <v>17</v>
      </c>
      <c r="D16" s="3" t="s">
        <v>12</v>
      </c>
      <c r="E16" s="5">
        <v>20000</v>
      </c>
      <c r="F16" s="5">
        <v>5000</v>
      </c>
    </row>
    <row r="17" spans="1:6" ht="18" customHeight="1" x14ac:dyDescent="0.35">
      <c r="A17" s="2">
        <v>46038</v>
      </c>
      <c r="B17" s="3" t="s">
        <v>6</v>
      </c>
      <c r="C17" s="3" t="s">
        <v>7</v>
      </c>
      <c r="D17" s="3" t="s">
        <v>15</v>
      </c>
      <c r="E17" s="5">
        <v>48000</v>
      </c>
      <c r="F17" s="5">
        <v>13000</v>
      </c>
    </row>
    <row r="18" spans="1:6" ht="18" customHeight="1" x14ac:dyDescent="0.35">
      <c r="A18" s="2">
        <v>46039</v>
      </c>
      <c r="B18" s="3" t="s">
        <v>9</v>
      </c>
      <c r="C18" s="3" t="s">
        <v>7</v>
      </c>
      <c r="D18" s="3" t="s">
        <v>8</v>
      </c>
      <c r="E18" s="5">
        <v>41000</v>
      </c>
      <c r="F18" s="5">
        <v>10200</v>
      </c>
    </row>
    <row r="19" spans="1:6" ht="18" customHeight="1" x14ac:dyDescent="0.35">
      <c r="A19" s="2">
        <v>46040</v>
      </c>
      <c r="B19" s="3" t="s">
        <v>11</v>
      </c>
      <c r="C19" s="3" t="s">
        <v>7</v>
      </c>
      <c r="D19" s="3" t="s">
        <v>10</v>
      </c>
      <c r="E19" s="5">
        <v>25000</v>
      </c>
      <c r="F19" s="5">
        <v>6200</v>
      </c>
    </row>
    <row r="20" spans="1:6" ht="18" customHeight="1" x14ac:dyDescent="0.35">
      <c r="A20" s="2">
        <v>46041</v>
      </c>
      <c r="B20" s="3" t="s">
        <v>13</v>
      </c>
      <c r="C20" s="3" t="s">
        <v>14</v>
      </c>
      <c r="D20" s="3" t="s">
        <v>12</v>
      </c>
      <c r="E20" s="5">
        <v>13500</v>
      </c>
      <c r="F20" s="5">
        <v>3300</v>
      </c>
    </row>
    <row r="21" spans="1:6" ht="18" customHeight="1" x14ac:dyDescent="0.35">
      <c r="A21" s="2">
        <v>46042</v>
      </c>
      <c r="B21" s="3" t="s">
        <v>16</v>
      </c>
      <c r="C21" s="3" t="s">
        <v>17</v>
      </c>
      <c r="D21" s="3" t="s">
        <v>15</v>
      </c>
      <c r="E21" s="5">
        <v>21000</v>
      </c>
      <c r="F21" s="5">
        <v>5200</v>
      </c>
    </row>
    <row r="22" spans="1:6" ht="18" customHeight="1" x14ac:dyDescent="0.35">
      <c r="A22" s="2">
        <v>46043</v>
      </c>
      <c r="B22" s="3" t="s">
        <v>6</v>
      </c>
      <c r="C22" s="3" t="s">
        <v>7</v>
      </c>
      <c r="D22" s="3" t="s">
        <v>8</v>
      </c>
      <c r="E22" s="5">
        <v>49000</v>
      </c>
      <c r="F22" s="5">
        <v>13200</v>
      </c>
    </row>
    <row r="23" spans="1:6" ht="18" customHeight="1" x14ac:dyDescent="0.35">
      <c r="A23" s="2">
        <v>46044</v>
      </c>
      <c r="B23" s="3" t="s">
        <v>9</v>
      </c>
      <c r="C23" s="3" t="s">
        <v>7</v>
      </c>
      <c r="D23" s="3" t="s">
        <v>10</v>
      </c>
      <c r="E23" s="5">
        <v>42000</v>
      </c>
      <c r="F23" s="5">
        <v>10500</v>
      </c>
    </row>
    <row r="24" spans="1:6" ht="18" customHeight="1" x14ac:dyDescent="0.35">
      <c r="A24" s="2">
        <v>46045</v>
      </c>
      <c r="B24" s="3" t="s">
        <v>11</v>
      </c>
      <c r="C24" s="3" t="s">
        <v>7</v>
      </c>
      <c r="D24" s="3" t="s">
        <v>12</v>
      </c>
      <c r="E24" s="5">
        <v>26000</v>
      </c>
      <c r="F24" s="5">
        <v>6500</v>
      </c>
    </row>
    <row r="25" spans="1:6" ht="18" customHeight="1" x14ac:dyDescent="0.35">
      <c r="A25" s="2">
        <v>46046</v>
      </c>
      <c r="B25" s="3" t="s">
        <v>13</v>
      </c>
      <c r="C25" s="3" t="s">
        <v>14</v>
      </c>
      <c r="D25" s="3" t="s">
        <v>15</v>
      </c>
      <c r="E25" s="5">
        <v>14000</v>
      </c>
      <c r="F25" s="5">
        <v>3500</v>
      </c>
    </row>
    <row r="26" spans="1:6" ht="18" customHeight="1" x14ac:dyDescent="0.35">
      <c r="A26" s="2">
        <v>46047</v>
      </c>
      <c r="B26" s="3" t="s">
        <v>16</v>
      </c>
      <c r="C26" s="3" t="s">
        <v>17</v>
      </c>
      <c r="D26" s="3" t="s">
        <v>8</v>
      </c>
      <c r="E26" s="5">
        <v>22000</v>
      </c>
      <c r="F26" s="5">
        <v>5500</v>
      </c>
    </row>
    <row r="27" spans="1:6" ht="18" customHeight="1" x14ac:dyDescent="0.35">
      <c r="A27" s="2">
        <v>46048</v>
      </c>
      <c r="B27" s="3" t="s">
        <v>6</v>
      </c>
      <c r="C27" s="3" t="s">
        <v>7</v>
      </c>
      <c r="D27" s="3" t="s">
        <v>10</v>
      </c>
      <c r="E27" s="5">
        <v>50000</v>
      </c>
      <c r="F27" s="5">
        <v>13500</v>
      </c>
    </row>
    <row r="28" spans="1:6" ht="18" customHeight="1" x14ac:dyDescent="0.35">
      <c r="A28" s="2">
        <v>46049</v>
      </c>
      <c r="B28" s="3" t="s">
        <v>9</v>
      </c>
      <c r="C28" s="3" t="s">
        <v>7</v>
      </c>
      <c r="D28" s="3" t="s">
        <v>12</v>
      </c>
      <c r="E28" s="5">
        <v>43000</v>
      </c>
      <c r="F28" s="5">
        <v>10800</v>
      </c>
    </row>
    <row r="29" spans="1:6" ht="18" customHeight="1" x14ac:dyDescent="0.35">
      <c r="A29" s="2">
        <v>46050</v>
      </c>
      <c r="B29" s="3" t="s">
        <v>11</v>
      </c>
      <c r="C29" s="3" t="s">
        <v>7</v>
      </c>
      <c r="D29" s="3" t="s">
        <v>15</v>
      </c>
      <c r="E29" s="5">
        <v>27000</v>
      </c>
      <c r="F29" s="5">
        <v>6800</v>
      </c>
    </row>
    <row r="30" spans="1:6" ht="18" customHeight="1" x14ac:dyDescent="0.35">
      <c r="A30" s="2">
        <v>46051</v>
      </c>
      <c r="B30" s="3" t="s">
        <v>13</v>
      </c>
      <c r="C30" s="3" t="s">
        <v>14</v>
      </c>
      <c r="D30" s="3" t="s">
        <v>8</v>
      </c>
      <c r="E30" s="5">
        <v>14500</v>
      </c>
      <c r="F30" s="5">
        <v>3600</v>
      </c>
    </row>
    <row r="31" spans="1:6" ht="18" customHeight="1" x14ac:dyDescent="0.35">
      <c r="A31" s="2">
        <v>46052</v>
      </c>
      <c r="B31" s="3" t="s">
        <v>16</v>
      </c>
      <c r="C31" s="3" t="s">
        <v>17</v>
      </c>
      <c r="D31" s="3" t="s">
        <v>10</v>
      </c>
      <c r="E31" s="5">
        <v>23000</v>
      </c>
      <c r="F31" s="5">
        <v>5700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27A4-98E0-40CA-9D4C-353348497918}">
  <dimension ref="A1:J47"/>
  <sheetViews>
    <sheetView tabSelected="1" zoomScale="94" workbookViewId="0">
      <selection activeCell="L38" sqref="L38"/>
    </sheetView>
  </sheetViews>
  <sheetFormatPr defaultRowHeight="14.5" x14ac:dyDescent="0.35"/>
  <sheetData>
    <row r="1" spans="1:10" ht="23.5" x14ac:dyDescent="0.55000000000000004">
      <c r="A1" s="8" t="s">
        <v>21</v>
      </c>
      <c r="B1" s="7"/>
      <c r="C1" s="7"/>
      <c r="D1" s="7"/>
      <c r="E1" s="7"/>
      <c r="F1" s="7"/>
      <c r="G1" s="7"/>
      <c r="H1" s="7"/>
      <c r="I1" s="7"/>
      <c r="J1" s="7"/>
    </row>
    <row r="2" spans="1:10" ht="15" thickBot="1" x14ac:dyDescent="0.4"/>
    <row r="3" spans="1:10" ht="21.5" thickBot="1" x14ac:dyDescent="0.55000000000000004">
      <c r="B3" s="12" t="s">
        <v>23</v>
      </c>
      <c r="C3" s="13"/>
      <c r="D3" s="14"/>
      <c r="G3" s="12" t="s">
        <v>24</v>
      </c>
      <c r="H3" s="13"/>
      <c r="I3" s="14"/>
    </row>
    <row r="4" spans="1:10" x14ac:dyDescent="0.35">
      <c r="B4" s="16">
        <v>877500</v>
      </c>
      <c r="C4" s="15"/>
      <c r="D4" s="15"/>
      <c r="G4" s="16">
        <v>223700</v>
      </c>
      <c r="H4" s="15"/>
      <c r="I4" s="15"/>
    </row>
    <row r="38" spans="2:10" ht="15" thickBot="1" x14ac:dyDescent="0.4"/>
    <row r="39" spans="2:10" ht="24" thickBot="1" x14ac:dyDescent="0.6">
      <c r="C39" s="17" t="s">
        <v>25</v>
      </c>
      <c r="D39" s="13"/>
      <c r="E39" s="13"/>
      <c r="F39" s="13"/>
      <c r="G39" s="13"/>
      <c r="H39" s="14"/>
    </row>
    <row r="41" spans="2:10" x14ac:dyDescent="0.35">
      <c r="B41" s="19" t="s">
        <v>26</v>
      </c>
      <c r="C41" s="7"/>
      <c r="D41" s="7"/>
      <c r="E41" s="7"/>
      <c r="F41" s="7"/>
      <c r="G41" s="7"/>
      <c r="H41" s="7"/>
      <c r="I41" s="7"/>
      <c r="J41" s="20"/>
    </row>
    <row r="42" spans="2:10" x14ac:dyDescent="0.35">
      <c r="B42" s="7"/>
      <c r="C42" s="7"/>
      <c r="D42" s="7"/>
      <c r="E42" s="7"/>
      <c r="F42" s="7"/>
      <c r="G42" s="7"/>
      <c r="H42" s="7"/>
      <c r="I42" s="7"/>
    </row>
    <row r="43" spans="2:10" x14ac:dyDescent="0.35">
      <c r="B43" s="18" t="s">
        <v>27</v>
      </c>
      <c r="C43" s="18"/>
      <c r="D43" s="18"/>
      <c r="E43" s="18"/>
      <c r="F43" s="18"/>
      <c r="G43" s="18"/>
      <c r="H43" s="18"/>
      <c r="I43" s="18"/>
    </row>
    <row r="44" spans="2:10" x14ac:dyDescent="0.35">
      <c r="B44" s="7" t="s">
        <v>30</v>
      </c>
      <c r="C44" s="7"/>
      <c r="D44" s="7"/>
      <c r="E44" s="7"/>
      <c r="F44" s="7"/>
      <c r="G44" s="7"/>
      <c r="H44" s="7"/>
      <c r="I44" s="7"/>
      <c r="J44" s="7"/>
    </row>
    <row r="45" spans="2:10" x14ac:dyDescent="0.35">
      <c r="B45" s="7" t="s">
        <v>28</v>
      </c>
      <c r="C45" s="7"/>
      <c r="D45" s="7"/>
      <c r="E45" s="7"/>
      <c r="F45" s="7"/>
      <c r="G45" s="7"/>
      <c r="H45" s="7"/>
      <c r="I45" s="7"/>
      <c r="J45" s="7"/>
    </row>
    <row r="46" spans="2:10" x14ac:dyDescent="0.35">
      <c r="B46" s="18" t="s">
        <v>29</v>
      </c>
      <c r="C46" s="18"/>
      <c r="D46" s="18"/>
      <c r="E46" s="18"/>
      <c r="F46" s="18"/>
      <c r="G46" s="18"/>
      <c r="H46" s="18"/>
      <c r="I46" s="18"/>
      <c r="J46" s="18"/>
    </row>
    <row r="47" spans="2:10" x14ac:dyDescent="0.35">
      <c r="B47" s="7" t="s">
        <v>31</v>
      </c>
      <c r="C47" s="7"/>
      <c r="D47" s="7"/>
      <c r="E47" s="7"/>
      <c r="F47" s="7"/>
      <c r="G47" s="7"/>
      <c r="H47" s="7"/>
      <c r="I47" s="7"/>
      <c r="J47" s="7"/>
    </row>
  </sheetData>
  <mergeCells count="11">
    <mergeCell ref="B47:J47"/>
    <mergeCell ref="B41:I41"/>
    <mergeCell ref="B42:I42"/>
    <mergeCell ref="B44:J44"/>
    <mergeCell ref="B45:J45"/>
    <mergeCell ref="A1:J1"/>
    <mergeCell ref="B3:D3"/>
    <mergeCell ref="G3:I3"/>
    <mergeCell ref="B4:D4"/>
    <mergeCell ref="G4:I4"/>
    <mergeCell ref="C39:H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Sheet4</vt:lpstr>
      <vt:lpstr>Sheet6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Dua</dc:creator>
  <cp:lastModifiedBy>Tanya Dua</cp:lastModifiedBy>
  <dcterms:created xsi:type="dcterms:W3CDTF">2026-06-19T20:08:56Z</dcterms:created>
  <dcterms:modified xsi:type="dcterms:W3CDTF">2026-06-19T21:17:33Z</dcterms:modified>
</cp:coreProperties>
</file>